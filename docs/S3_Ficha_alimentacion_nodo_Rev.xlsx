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mc:AlternateContent xmlns:mc="http://schemas.openxmlformats.org/markup-compatibility/2006">
    <mc:Choice Requires="x15">
      <x15ac:absPath xmlns:x15ac="http://schemas.microsoft.com/office/spreadsheetml/2010/11/ac" url="https://aluautonoma365-my.sharepoint.com/personal/lucas_maldonado_cloud_uautonoma_cl/Documents/"/>
    </mc:Choice>
  </mc:AlternateContent>
  <xr:revisionPtr revIDLastSave="0" documentId="8_{211B7F3C-14BE-43B8-A8F3-228A516076AD}" xr6:coauthVersionLast="47" xr6:coauthVersionMax="47" xr10:uidLastSave="{00000000-0000-0000-0000-000000000000}"/>
  <bookViews>
    <workbookView xWindow="11424" yWindow="0" windowWidth="11712" windowHeight="13776" tabRatio="500" firstSheet="1" activeTab="1" xr2:uid="{00000000-000D-0000-FFFF-FFFF00000000}"/>
  </bookViews>
  <sheets>
    <sheet name="Instrucciones" sheetId="1" r:id="rId1"/>
    <sheet name="Ficha" sheetId="2" r:id="rId2"/>
    <sheet name="Referencia"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22" i="2" l="1"/>
  <c r="G21" i="2"/>
  <c r="G20" i="2"/>
  <c r="G19" i="2"/>
  <c r="B7" i="2" l="1"/>
  <c r="B37" i="2"/>
  <c r="B35" i="2"/>
  <c r="B34" i="2"/>
  <c r="G30" i="2"/>
  <c r="G29" i="2"/>
  <c r="G28" i="2"/>
  <c r="G27" i="2"/>
  <c r="G26" i="2"/>
  <c r="G25" i="2"/>
  <c r="G24" i="2"/>
  <c r="B33" i="2" l="1"/>
  <c r="B36" i="2" s="1"/>
  <c r="B38" i="2" s="1"/>
  <c r="B39" i="2" s="1"/>
</calcChain>
</file>

<file path=xl/sharedStrings.xml><?xml version="1.0" encoding="utf-8"?>
<sst xmlns="http://schemas.openxmlformats.org/spreadsheetml/2006/main" count="131" uniqueCount="128">
  <si>
    <t>FICHA DE ALIMENTACIÓN DEL NODO — GT1, ítem 7</t>
  </si>
  <si>
    <t>Fundamentos de IoT · 2º semestre 2026 · Universidad Autónoma de Chile</t>
  </si>
  <si>
    <t>QUÉ SE COMPLETA</t>
  </si>
  <si>
    <t>Solo las celdas con fondo azul de la hoja «Ficha». Todo lo demás son fórmulas: no se escribe encima.</t>
  </si>
  <si>
    <t>PASOS</t>
  </si>
  <si>
    <t>1. Completar la identificación del equipo y los parámetros del ciclo (período, rieles, batería).</t>
  </si>
  <si>
    <t>2. Listar TODOS los componentes del nodo, uno por fila, con su corriente activa, su corriente en reposo y</t>
  </si>
  <si>
    <t xml:space="preserve">   cuántos segundos permanece activo dentro de un período. La fila de ejemplo muestra el formato esperado:</t>
  </si>
  <si>
    <t xml:space="preserve">   bórrenla o sustitúyanla por sus propios componentes.</t>
  </si>
  <si>
    <t>3. Indicar de dónde salió cada cifra: hoja de datos del componente o medición propia. Un número sin fuente</t>
  </si>
  <si>
    <t xml:space="preserve">   no se acepta en el ítem 7.</t>
  </si>
  <si>
    <t>4. Registrar la corriente de pico de cada componente. La planilla identifica sola cuál domina.</t>
  </si>
  <si>
    <t>5. Declarar si el nodo va enchufado o a batería, y justificarlo en una línea.</t>
  </si>
  <si>
    <t>6. Guardar la planilla en la carpeta /docs del repositorio del equipo.</t>
  </si>
  <si>
    <t>CÓMO SE CALCULA</t>
  </si>
  <si>
    <t>Corriente media ponderada por el ciclo de trabajo:  I_media = Σ [ I_activa·t_activo + I_reposo·(T − t_activo) ] / T</t>
  </si>
  <si>
    <t>Corriente exigida a la batería con conversión reductora:  I_bat = I_media · (V_riel / V_bat) / η</t>
  </si>
  <si>
    <t>Autonomía:  t = (0,8 · C_nominal) / I_bat        (el factor 0,8 es la capacidad útil, no la nominal)</t>
  </si>
  <si>
    <t>ADVERTENCIAS QUE CUESTAN EL ÍTEM</t>
  </si>
  <si>
    <t>· La corriente de pico no es opcional: es la que reinicia el nodo cuando transmite. Sin ella, el ítem 7 no cumple.</t>
  </si>
  <si>
    <t>· El consumo en reposo de una PLACA DE DESARROLLO es de unidades de mA, no de microamperios. Usar la cifra del</t>
  </si>
  <si>
    <t xml:space="preserve">  módulo desnudo produce una autonomía entre diez y cien veces optimista.</t>
  </si>
  <si>
    <t>· Una celda 18650 que declara más de 3500 mAh no es creíble. Usar una capacidad defendible y anotar el supuesto.</t>
  </si>
  <si>
    <t>· Si el proyecto exige nodo publicando de forma permanente (Semana 10), la autonomía debe ser compatible con eso</t>
  </si>
  <si>
    <t xml:space="preserve">  o el nodo va enchufado. Decidirlo ahora es más barato que descubrirlo en la Semana 10.</t>
  </si>
  <si>
    <t>FICHA DE ALIMENTACIÓN DEL NODO</t>
  </si>
  <si>
    <t>Completar solo las celdas con fondo azul. GT1, ítem 7.</t>
  </si>
  <si>
    <t>Equipo (código E NN)</t>
  </si>
  <si>
    <t>E02</t>
  </si>
  <si>
    <t>Proyecto (código P NN)</t>
  </si>
  <si>
    <t>P2 — Monitor de calidad de aire y ruido del campus</t>
  </si>
  <si>
    <t>Sección de laboratorio</t>
  </si>
  <si>
    <t>Lab 1</t>
  </si>
  <si>
    <t>Fecha</t>
  </si>
  <si>
    <t>PARÁMETROS DEL CICLO Y DE LA FUENTE</t>
  </si>
  <si>
    <t>Período del ciclo del nodo T [s]</t>
  </si>
  <si>
    <t>Tiempo entre dos mediciones completas.</t>
  </si>
  <si>
    <t>Tensión del riel principal V_riel [V]</t>
  </si>
  <si>
    <t>Riel que alimenta el nodo.</t>
  </si>
  <si>
    <t>Tensión nominal de la batería V_bat [V]</t>
  </si>
  <si>
    <t>2 celdas 18650 en serie = 7,4 V.</t>
  </si>
  <si>
    <t>Rendimiento del conversor η</t>
  </si>
  <si>
    <t>Conversor reductor. 0,85 es un valor conservador.</t>
  </si>
  <si>
    <t>Capacidad nominal de la batería C_nom [mAh]</t>
  </si>
  <si>
    <t>Capacidad defendible, no la de la etiqueta si es implausible.</t>
  </si>
  <si>
    <t>Factor de capacidad útil</t>
  </si>
  <si>
    <t>No se descarga una celda al 100 %.</t>
  </si>
  <si>
    <t>CONSUMO POR COMPONENTE</t>
  </si>
  <si>
    <t>Componente</t>
  </si>
  <si>
    <t>Riel [V]</t>
  </si>
  <si>
    <t>I activa [mA]</t>
  </si>
  <si>
    <t>I reposo [mA]</t>
  </si>
  <si>
    <t>t activo por ciclo [s]</t>
  </si>
  <si>
    <t>I de pico [mA]</t>
  </si>
  <si>
    <t>Aporte a I media [mA]</t>
  </si>
  <si>
    <t>Fuente del dato</t>
  </si>
  <si>
    <t>¿Riel propio?</t>
  </si>
  <si>
    <t>ESP32</t>
  </si>
  <si>
    <t>ESP 32 Datasheet, ESPRESSIF</t>
  </si>
  <si>
    <t>si</t>
  </si>
  <si>
    <t>MQ - 135</t>
  </si>
  <si>
    <t>Datasheet Hanwei - MQ - 135</t>
  </si>
  <si>
    <t>no</t>
  </si>
  <si>
    <t>KY-038</t>
  </si>
  <si>
    <t>Datasheet LM393 (TI)</t>
  </si>
  <si>
    <t>Display OLED I2C</t>
  </si>
  <si>
    <t>Display OLED I2C 0.96" SSD1306 datasheet</t>
  </si>
  <si>
    <t>RESULTADOS</t>
  </si>
  <si>
    <t>Corriente media del nodo I_media [mA]</t>
  </si>
  <si>
    <t>Corriente de pico máxima [mA]</t>
  </si>
  <si>
    <t>Componente que produce el pico</t>
  </si>
  <si>
    <t>Corriente exigida a la batería I_bat [mA]</t>
  </si>
  <si>
    <t>Capacidad útil [mAh]</t>
  </si>
  <si>
    <t>Autonomía estimada [h]</t>
  </si>
  <si>
    <t>Autonomía estimada [días]</t>
  </si>
  <si>
    <t>DECISIÓN DE ALIMENTACIÓN</t>
  </si>
  <si>
    <t>¿El nodo va enchufado o a batería?</t>
  </si>
  <si>
    <t>Batería</t>
  </si>
  <si>
    <t>Justificación en una línea</t>
  </si>
  <si>
    <t>Se requiere batería de 7,4V para alimentar el nodo de forma autónoma y el convertidor reduce la tensión al nivel requerido por los componentes</t>
  </si>
  <si>
    <t>¿Hay actuadores con riel propio? ¿Cuáles?</t>
  </si>
  <si>
    <t>No, el sistema solo utiliza sensores y una pantalla</t>
  </si>
  <si>
    <t>¿Usa deep sleep? ¿Es compatible con la publicación permanente (S10)?</t>
  </si>
  <si>
    <t>No, el sistema no lo utiliza, ya que el nodo debe permanecer activo para realizar las mediciones y mantener la publicacion permanente de datos</t>
  </si>
  <si>
    <t>Supuestos declarados (capacidad de celda, consumo en reposo, etc.)</t>
  </si>
  <si>
    <t>Periodo de medición: 60 s entre mediciones.
Batería: 2 celdas 18650 de 3,7 V en serie → 7,4 V nominales.
Capacidad nominal: 2600 mAh.
Capacidad utilizable: 80 %, es decir, 2080 mAh.
Eficiencia del convertidor: 85 %, considerando pérdidas del regulador.
ESP32: se considera un consumo de 50 mA promedio durante el ciclo y hasta 240 mA de pico.
MQ-135: se considera 150 mA, tanto activo como en reposo.
KY-038: 6 mA.
OLED: 20 mA como consumo activo y prácticamente nulo en reposo.
Funcionamiento continuo: el nodo permanece activo y realizando mediciones, por lo que no se considera Deep Sleep.
Autonomía: se estima a partir del consumo promedio y la capacidad útil de la batería, considerando además la eficiencia del convertidor. Este enfoque es consistente con el cálculo habitual de autonomía mediante capacidad/consumo medio.</t>
  </si>
  <si>
    <t>Nota: las cifras de la fila de ejemplo son órdenes de magnitud para ilustrar el formato. Cada equipo debe sustituirlas por los valores de la hoja de datos de sus propios componentes o por mediciones propias, indicando la fuente.</t>
  </si>
  <si>
    <t>ÓRDENES DE MAGNITUD DE CONSUMO (referencia para dimensionar)</t>
  </si>
  <si>
    <t>Valores de orden de magnitud, no de diseño. El valor definitivo se toma de la hoja de datos del componente del kit y se registra con su fuente.</t>
  </si>
  <si>
    <t>Corriente típica</t>
  </si>
  <si>
    <t>Comentario</t>
  </si>
  <si>
    <t>ESP32 DevKit — CPU activa, radio apagada</t>
  </si>
  <si>
    <t>decenas de mA</t>
  </si>
  <si>
    <t>Estado habitual entre muestras.</t>
  </si>
  <si>
    <t>ESP32 — transmisión WiFi</t>
  </si>
  <si>
    <t>picos de cientos de mA</t>
  </si>
  <si>
    <t>Pico de milisegundos; es el que reinicia nodos mal alimentados.</t>
  </si>
  <si>
    <t>ESP32 DevKit — deep sleep</t>
  </si>
  <si>
    <t>unidades de mA</t>
  </si>
  <si>
    <t>El conversor USB-serie y el LED de la placa siguen consumiendo.</t>
  </si>
  <si>
    <t>Módulo ESP32 desnudo — deep sleep</t>
  </si>
  <si>
    <t>decenas de µA</t>
  </si>
  <si>
    <t>No usar esta cifra si el proyecto usa placa de desarrollo.</t>
  </si>
  <si>
    <t>Sensor digital de temperatura/humedad</t>
  </si>
  <si>
    <t>1–2 mA al medir</t>
  </si>
  <si>
    <t>Despreciable frente al resto.</t>
  </si>
  <si>
    <t>Sensor ultrasónico</t>
  </si>
  <si>
    <t>~15 mA</t>
  </si>
  <si>
    <t>Solo durante la medición.</t>
  </si>
  <si>
    <t>Pantalla OLED</t>
  </si>
  <si>
    <t>10–20 mA</t>
  </si>
  <si>
    <t>Continuo mientras esté encendida.</t>
  </si>
  <si>
    <t>Sensor de gas con calefactor (familia MQ)</t>
  </si>
  <si>
    <t>~150 mA continuos</t>
  </si>
  <si>
    <t>Domina el presupuesto; incompatible con batería pequeña.</t>
  </si>
  <si>
    <t>Módulo de relé (una bobina)</t>
  </si>
  <si>
    <t>~70 mA por canal</t>
  </si>
  <si>
    <t>Se multiplica por canal simultáneo.</t>
  </si>
  <si>
    <t>Servomotor pequeño</t>
  </si>
  <si>
    <t>decenas de mA en reposo; cientos en movimiento</t>
  </si>
  <si>
    <t>Pico de arranque muy superior al promedio. Riel propio.</t>
  </si>
  <si>
    <t>Electroválvula solenoide 12 V</t>
  </si>
  <si>
    <t>cientos de mA mientras está abierta</t>
  </si>
  <si>
    <t>Riel propio; no accionar varias en simultáneo.</t>
  </si>
  <si>
    <t>Módulo de cámara</t>
  </si>
  <si>
    <t>cientos de mA en transmisión</t>
  </si>
  <si>
    <t>Causa clásica de reinicio por caída de riel.</t>
  </si>
  <si>
    <t>Fuente: hojas de datos de los fabricantes de los componentes del kit y cápsula asincrónica «Alimentación del nodo» (Semana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</si>
</sst>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11"/>
      <color theme="1"/>
      <name val="Calibri"/>
      <family val="2"/>
      <charset val="1"/>
    </font>
    <font>
      <b/>
      <sz val="14"/>
      <color rgb="FFC80000"/>
      <name val="Arial"/>
      <charset val="1"/>
    </font>
    <font>
      <i/>
      <sz val="9"/>
      <name val="Arial"/>
      <charset val="1"/>
    </font>
    <font>
      <sz val="10"/>
      <name val="Arial"/>
      <charset val="1"/>
    </font>
    <font>
      <b/>
      <sz val="10"/>
      <name val="Arial"/>
      <charset val="1"/>
    </font>
    <font>
      <b/>
      <sz val="10"/>
      <color rgb="FFFFFFFF"/>
      <name val="Arial"/>
      <charset val="1"/>
    </font>
    <font>
      <sz val="10"/>
      <name val="Arial"/>
      <family val="2"/>
    </font>
  </fonts>
  <fills count="6">
    <fill>
      <patternFill patternType="none"/>
    </fill>
    <fill>
      <patternFill patternType="gray125"/>
    </fill>
    <fill>
      <patternFill patternType="solid">
        <fgColor rgb="FFEFEFEF"/>
        <bgColor rgb="FFDDEBF7"/>
      </patternFill>
    </fill>
    <fill>
      <patternFill patternType="solid">
        <fgColor rgb="FFDDEBF7"/>
        <bgColor rgb="FFEFEFEF"/>
      </patternFill>
    </fill>
    <fill>
      <patternFill patternType="solid">
        <fgColor rgb="FFC80000"/>
        <bgColor rgb="FF800000"/>
      </patternFill>
    </fill>
    <fill>
      <patternFill patternType="solid">
        <fgColor theme="4" tint="0.79998168889431442"/>
        <bgColor indexed="64"/>
      </patternFill>
    </fill>
  </fills>
  <borders count="6">
    <border>
      <left/>
      <right/>
      <top/>
      <bottom/>
      <diagonal/>
    </border>
    <border>
      <left style="thin">
        <color rgb="FF999999"/>
      </left>
      <right style="thin">
        <color rgb="FF999999"/>
      </right>
      <top style="thin">
        <color rgb="FF999999"/>
      </top>
      <bottom style="thin">
        <color rgb="FF999999"/>
      </bottom>
      <diagonal/>
    </border>
    <border>
      <left/>
      <right/>
      <top style="thin">
        <color rgb="FF999999"/>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26">
    <xf numFmtId="0" fontId="0" fillId="0" borderId="0" xfId="0"/>
    <xf numFmtId="0" fontId="2" fillId="0" borderId="0" xfId="0" applyFont="1"/>
    <xf numFmtId="0" fontId="1" fillId="0" borderId="0" xfId="0" applyFont="1"/>
    <xf numFmtId="0" fontId="3" fillId="0" borderId="0" xfId="0" applyFont="1"/>
    <xf numFmtId="0" fontId="4" fillId="2" borderId="0" xfId="0" applyFont="1" applyFill="1"/>
    <xf numFmtId="0" fontId="4" fillId="0" borderId="0" xfId="0" applyFont="1"/>
    <xf numFmtId="0" fontId="3" fillId="3" borderId="1" xfId="0" applyFont="1" applyFill="1" applyBorder="1" applyAlignment="1">
      <alignment horizontal="center" vertical="center"/>
    </xf>
    <xf numFmtId="0" fontId="5" fillId="4" borderId="1" xfId="0" applyFont="1" applyFill="1" applyBorder="1" applyAlignment="1">
      <alignment vertical="center" wrapText="1"/>
    </xf>
    <xf numFmtId="2" fontId="3" fillId="0" borderId="1" xfId="0" applyNumberFormat="1" applyFont="1" applyBorder="1"/>
    <xf numFmtId="0" fontId="3" fillId="3" borderId="1" xfId="0" applyFont="1" applyFill="1" applyBorder="1"/>
    <xf numFmtId="2" fontId="3" fillId="0" borderId="1" xfId="0" applyNumberFormat="1" applyFont="1" applyBorder="1" applyAlignment="1">
      <alignment horizontal="center" vertical="center"/>
    </xf>
    <xf numFmtId="1" fontId="3" fillId="0" borderId="1" xfId="0" applyNumberFormat="1" applyFont="1" applyBorder="1" applyAlignment="1">
      <alignment horizontal="center" vertical="center"/>
    </xf>
    <xf numFmtId="49" fontId="3" fillId="0" borderId="1" xfId="0" applyNumberFormat="1" applyFont="1" applyBorder="1" applyAlignment="1">
      <alignment horizontal="center" vertical="center"/>
    </xf>
    <xf numFmtId="164" fontId="3" fillId="0" borderId="1" xfId="0" applyNumberFormat="1" applyFont="1" applyBorder="1" applyAlignment="1">
      <alignment horizontal="center" vertical="center"/>
    </xf>
    <xf numFmtId="0" fontId="5" fillId="4" borderId="1" xfId="0" applyFont="1" applyFill="1" applyBorder="1"/>
    <xf numFmtId="0" fontId="3" fillId="0" borderId="1" xfId="0" applyFont="1" applyBorder="1" applyAlignment="1">
      <alignment vertical="center" wrapText="1"/>
    </xf>
    <xf numFmtId="0" fontId="6" fillId="3" borderId="1" xfId="0" applyFont="1" applyFill="1" applyBorder="1"/>
    <xf numFmtId="0" fontId="0" fillId="5" borderId="0" xfId="0" applyFill="1"/>
    <xf numFmtId="0" fontId="0" fillId="3" borderId="2" xfId="0" applyFill="1" applyBorder="1" applyAlignment="1">
      <alignment horizontal="left" vertical="top" wrapText="1"/>
    </xf>
    <xf numFmtId="0" fontId="0" fillId="3" borderId="0" xfId="0" applyFill="1" applyBorder="1" applyAlignment="1">
      <alignment horizontal="left" vertical="top" wrapText="1"/>
    </xf>
    <xf numFmtId="0" fontId="0" fillId="3" borderId="1" xfId="0" applyFill="1" applyBorder="1" applyAlignment="1"/>
    <xf numFmtId="14" fontId="0" fillId="3" borderId="1" xfId="0" applyNumberFormat="1" applyFill="1" applyBorder="1" applyAlignment="1"/>
    <xf numFmtId="0" fontId="2" fillId="0" borderId="0" xfId="0" applyFont="1" applyAlignment="1"/>
    <xf numFmtId="0" fontId="0" fillId="3" borderId="3" xfId="0" applyFill="1" applyBorder="1" applyAlignment="1"/>
    <xf numFmtId="0" fontId="0" fillId="3" borderId="4" xfId="0" applyFill="1" applyBorder="1" applyAlignment="1"/>
    <xf numFmtId="0" fontId="0" fillId="3" borderId="5" xfId="0" applyFill="1" applyBorder="1" applyAlignment="1"/>
  </cellXfs>
  <cellStyles count="1">
    <cellStyle name="Normal" xfId="0" builtinId="0"/>
  </cellStyles>
  <dxfs count="0"/>
  <tableStyles count="0" defaultTableStyle="TableStyleMedium2" defaultPivotStyle="PivotStyleLight16"/>
  <colors>
    <indexedColors>
      <rgbColor rgb="FF000000"/>
      <rgbColor rgb="FFFFFFFF"/>
      <rgbColor rgb="FFC8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FEFEF"/>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9"/>
  <sheetViews>
    <sheetView zoomScaleNormal="100" workbookViewId="0">
      <selection activeCell="E10" sqref="E10"/>
    </sheetView>
  </sheetViews>
  <sheetFormatPr defaultColWidth="8.7109375" defaultRowHeight="14.45"/>
  <cols>
    <col min="1" max="1" width="3" customWidth="1"/>
    <col min="2" max="2" width="110" customWidth="1"/>
  </cols>
  <sheetData>
    <row r="1" spans="2:2" ht="17.45">
      <c r="B1" s="2" t="s">
        <v>0</v>
      </c>
    </row>
    <row r="2" spans="2:2">
      <c r="B2" s="1" t="s">
        <v>1</v>
      </c>
    </row>
    <row r="3" spans="2:2">
      <c r="B3" s="3"/>
    </row>
    <row r="4" spans="2:2">
      <c r="B4" s="4" t="s">
        <v>2</v>
      </c>
    </row>
    <row r="5" spans="2:2">
      <c r="B5" s="3" t="s">
        <v>3</v>
      </c>
    </row>
    <row r="6" spans="2:2">
      <c r="B6" s="3"/>
    </row>
    <row r="7" spans="2:2">
      <c r="B7" s="4" t="s">
        <v>4</v>
      </c>
    </row>
    <row r="8" spans="2:2">
      <c r="B8" s="3" t="s">
        <v>5</v>
      </c>
    </row>
    <row r="9" spans="2:2">
      <c r="B9" s="3" t="s">
        <v>6</v>
      </c>
    </row>
    <row r="10" spans="2:2">
      <c r="B10" s="3" t="s">
        <v>7</v>
      </c>
    </row>
    <row r="11" spans="2:2">
      <c r="B11" s="3" t="s">
        <v>8</v>
      </c>
    </row>
    <row r="12" spans="2:2">
      <c r="B12" s="3" t="s">
        <v>9</v>
      </c>
    </row>
    <row r="13" spans="2:2">
      <c r="B13" s="3" t="s">
        <v>10</v>
      </c>
    </row>
    <row r="14" spans="2:2">
      <c r="B14" s="3" t="s">
        <v>11</v>
      </c>
    </row>
    <row r="15" spans="2:2">
      <c r="B15" s="3" t="s">
        <v>12</v>
      </c>
    </row>
    <row r="16" spans="2:2">
      <c r="B16" s="3" t="s">
        <v>13</v>
      </c>
    </row>
    <row r="17" spans="2:2">
      <c r="B17" s="3"/>
    </row>
    <row r="18" spans="2:2">
      <c r="B18" s="4" t="s">
        <v>14</v>
      </c>
    </row>
    <row r="19" spans="2:2">
      <c r="B19" s="3" t="s">
        <v>15</v>
      </c>
    </row>
    <row r="20" spans="2:2">
      <c r="B20" s="3" t="s">
        <v>16</v>
      </c>
    </row>
    <row r="21" spans="2:2">
      <c r="B21" s="3" t="s">
        <v>17</v>
      </c>
    </row>
    <row r="22" spans="2:2">
      <c r="B22" s="3"/>
    </row>
    <row r="23" spans="2:2">
      <c r="B23" s="4" t="s">
        <v>18</v>
      </c>
    </row>
    <row r="24" spans="2:2">
      <c r="B24" s="3" t="s">
        <v>19</v>
      </c>
    </row>
    <row r="25" spans="2:2">
      <c r="B25" s="3" t="s">
        <v>20</v>
      </c>
    </row>
    <row r="26" spans="2:2">
      <c r="B26" s="3" t="s">
        <v>21</v>
      </c>
    </row>
    <row r="27" spans="2:2">
      <c r="B27" s="3" t="s">
        <v>22</v>
      </c>
    </row>
    <row r="28" spans="2:2">
      <c r="B28" s="3" t="s">
        <v>23</v>
      </c>
    </row>
    <row r="29" spans="2:2">
      <c r="B29" s="3" t="s">
        <v>24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6"/>
  <sheetViews>
    <sheetView tabSelected="1" topLeftCell="A35" zoomScaleNormal="100" workbookViewId="0">
      <selection activeCell="B46" sqref="B46:I58"/>
    </sheetView>
  </sheetViews>
  <sheetFormatPr defaultColWidth="8.7109375" defaultRowHeight="14.45"/>
  <cols>
    <col min="1" max="1" width="61.28515625" customWidth="1"/>
    <col min="2" max="2" width="10" customWidth="1"/>
    <col min="3" max="7" width="13" customWidth="1"/>
    <col min="8" max="8" width="35.85546875" customWidth="1"/>
    <col min="9" max="9" width="16" customWidth="1"/>
  </cols>
  <sheetData>
    <row r="1" spans="1:6" ht="17.45">
      <c r="A1" s="2" t="s">
        <v>25</v>
      </c>
    </row>
    <row r="2" spans="1:6">
      <c r="A2" s="1" t="s">
        <v>26</v>
      </c>
    </row>
    <row r="4" spans="1:6">
      <c r="A4" s="5" t="s">
        <v>27</v>
      </c>
      <c r="B4" s="20" t="s">
        <v>28</v>
      </c>
      <c r="C4" s="20"/>
      <c r="D4" s="20"/>
    </row>
    <row r="5" spans="1:6">
      <c r="A5" s="5" t="s">
        <v>29</v>
      </c>
      <c r="B5" s="20" t="s">
        <v>30</v>
      </c>
      <c r="C5" s="20"/>
      <c r="D5" s="20"/>
    </row>
    <row r="6" spans="1:6">
      <c r="A6" s="5" t="s">
        <v>31</v>
      </c>
      <c r="B6" s="20" t="s">
        <v>32</v>
      </c>
      <c r="C6" s="20"/>
      <c r="D6" s="20"/>
    </row>
    <row r="7" spans="1:6">
      <c r="A7" s="5" t="s">
        <v>33</v>
      </c>
      <c r="B7" s="21">
        <f>DATE(2026,8,13)</f>
        <v>46247</v>
      </c>
      <c r="C7" s="20"/>
      <c r="D7" s="20"/>
    </row>
    <row r="9" spans="1:6">
      <c r="A9" s="4" t="s">
        <v>34</v>
      </c>
    </row>
    <row r="10" spans="1:6">
      <c r="A10" s="3" t="s">
        <v>35</v>
      </c>
      <c r="B10" s="6">
        <v>60</v>
      </c>
      <c r="C10" s="22" t="s">
        <v>36</v>
      </c>
      <c r="D10" s="22"/>
      <c r="E10" s="22"/>
      <c r="F10" s="22"/>
    </row>
    <row r="11" spans="1:6">
      <c r="A11" s="3" t="s">
        <v>37</v>
      </c>
      <c r="B11" s="6">
        <v>5</v>
      </c>
      <c r="C11" s="22" t="s">
        <v>38</v>
      </c>
      <c r="D11" s="22"/>
      <c r="E11" s="22"/>
      <c r="F11" s="22"/>
    </row>
    <row r="12" spans="1:6">
      <c r="A12" s="3" t="s">
        <v>39</v>
      </c>
      <c r="B12" s="6">
        <v>7.4</v>
      </c>
      <c r="C12" s="22" t="s">
        <v>40</v>
      </c>
      <c r="D12" s="22"/>
      <c r="E12" s="22"/>
      <c r="F12" s="22"/>
    </row>
    <row r="13" spans="1:6">
      <c r="A13" s="3" t="s">
        <v>41</v>
      </c>
      <c r="B13" s="6">
        <v>0.85</v>
      </c>
      <c r="C13" s="22" t="s">
        <v>42</v>
      </c>
      <c r="D13" s="22"/>
      <c r="E13" s="22"/>
      <c r="F13" s="22"/>
    </row>
    <row r="14" spans="1:6">
      <c r="A14" s="3" t="s">
        <v>43</v>
      </c>
      <c r="B14" s="6">
        <v>2600</v>
      </c>
      <c r="C14" s="22" t="s">
        <v>44</v>
      </c>
      <c r="D14" s="22"/>
      <c r="E14" s="22"/>
      <c r="F14" s="22"/>
    </row>
    <row r="15" spans="1:6">
      <c r="A15" s="3" t="s">
        <v>45</v>
      </c>
      <c r="B15" s="6">
        <v>0.8</v>
      </c>
      <c r="C15" s="22" t="s">
        <v>46</v>
      </c>
      <c r="D15" s="22"/>
      <c r="E15" s="22"/>
      <c r="F15" s="22"/>
    </row>
    <row r="17" spans="1:9">
      <c r="A17" s="4" t="s">
        <v>47</v>
      </c>
    </row>
    <row r="18" spans="1:9" ht="31.5" customHeight="1">
      <c r="A18" s="7" t="s">
        <v>48</v>
      </c>
      <c r="B18" s="7" t="s">
        <v>49</v>
      </c>
      <c r="C18" s="7" t="s">
        <v>50</v>
      </c>
      <c r="D18" s="7" t="s">
        <v>51</v>
      </c>
      <c r="E18" s="7" t="s">
        <v>52</v>
      </c>
      <c r="F18" s="7" t="s">
        <v>53</v>
      </c>
      <c r="G18" s="7" t="s">
        <v>54</v>
      </c>
      <c r="H18" s="7" t="s">
        <v>55</v>
      </c>
      <c r="I18" s="7" t="s">
        <v>56</v>
      </c>
    </row>
    <row r="19" spans="1:9">
      <c r="A19" s="9" t="s">
        <v>57</v>
      </c>
      <c r="B19" s="9">
        <v>3.3</v>
      </c>
      <c r="C19" s="9">
        <v>50</v>
      </c>
      <c r="D19" s="9">
        <v>15</v>
      </c>
      <c r="E19" s="9">
        <v>60</v>
      </c>
      <c r="F19" s="9">
        <v>240</v>
      </c>
      <c r="G19" s="8">
        <f t="shared" ref="G19:G22" si="0">IF(A19="","",(C19*E19+D19*(MAX(0,$B$10-E19)))/$B$10)</f>
        <v>50</v>
      </c>
      <c r="H19" s="16" t="s">
        <v>58</v>
      </c>
      <c r="I19" s="9" t="s">
        <v>59</v>
      </c>
    </row>
    <row r="20" spans="1:9">
      <c r="A20" s="9" t="s">
        <v>60</v>
      </c>
      <c r="B20" s="9">
        <v>5</v>
      </c>
      <c r="C20" s="9">
        <v>150</v>
      </c>
      <c r="D20" s="9">
        <v>150</v>
      </c>
      <c r="E20" s="9">
        <v>60</v>
      </c>
      <c r="F20" s="9">
        <v>170</v>
      </c>
      <c r="G20" s="8">
        <f t="shared" si="0"/>
        <v>150</v>
      </c>
      <c r="H20" s="9" t="s">
        <v>61</v>
      </c>
      <c r="I20" s="9" t="s">
        <v>62</v>
      </c>
    </row>
    <row r="21" spans="1:9">
      <c r="A21" s="9" t="s">
        <v>63</v>
      </c>
      <c r="B21" s="9">
        <v>3.3</v>
      </c>
      <c r="C21" s="9">
        <v>6</v>
      </c>
      <c r="D21" s="9">
        <v>6</v>
      </c>
      <c r="E21" s="9">
        <v>60</v>
      </c>
      <c r="F21" s="9">
        <v>6</v>
      </c>
      <c r="G21" s="8">
        <f t="shared" si="0"/>
        <v>6</v>
      </c>
      <c r="H21" s="9" t="s">
        <v>64</v>
      </c>
      <c r="I21" s="9" t="s">
        <v>59</v>
      </c>
    </row>
    <row r="22" spans="1:9">
      <c r="A22" s="9" t="s">
        <v>65</v>
      </c>
      <c r="B22" s="9">
        <v>3.3</v>
      </c>
      <c r="C22" s="9">
        <v>20</v>
      </c>
      <c r="D22" s="9">
        <v>0.01</v>
      </c>
      <c r="E22" s="9">
        <v>60</v>
      </c>
      <c r="F22" s="9">
        <v>35</v>
      </c>
      <c r="G22" s="8">
        <f t="shared" si="0"/>
        <v>20</v>
      </c>
      <c r="H22" s="17" t="s">
        <v>66</v>
      </c>
      <c r="I22" s="9" t="s">
        <v>59</v>
      </c>
    </row>
    <row r="23" spans="1:9">
      <c r="A23" s="9"/>
      <c r="B23" s="9"/>
      <c r="C23" s="9"/>
      <c r="D23" s="9"/>
      <c r="E23" s="9"/>
      <c r="F23" s="9"/>
      <c r="G23" s="8"/>
      <c r="H23" s="9"/>
      <c r="I23" s="9"/>
    </row>
    <row r="24" spans="1:9">
      <c r="A24" s="9"/>
      <c r="B24" s="9"/>
      <c r="C24" s="9"/>
      <c r="D24" s="9"/>
      <c r="E24" s="9"/>
      <c r="F24" s="9"/>
      <c r="G24" s="8" t="str">
        <f t="shared" ref="G19:G30" si="1">IF(A24="","",(C24*E24+D24*(MAX(0,$B$10-E24)))/$B$10)</f>
        <v/>
      </c>
      <c r="H24" s="9"/>
      <c r="I24" s="9"/>
    </row>
    <row r="25" spans="1:9">
      <c r="A25" s="9"/>
      <c r="B25" s="9"/>
      <c r="C25" s="9"/>
      <c r="D25" s="9"/>
      <c r="E25" s="9"/>
      <c r="F25" s="9"/>
      <c r="G25" s="8" t="str">
        <f t="shared" si="1"/>
        <v/>
      </c>
      <c r="H25" s="9"/>
      <c r="I25" s="9"/>
    </row>
    <row r="26" spans="1:9">
      <c r="A26" s="9"/>
      <c r="B26" s="9"/>
      <c r="C26" s="9"/>
      <c r="D26" s="9"/>
      <c r="E26" s="9"/>
      <c r="F26" s="9"/>
      <c r="G26" s="8" t="str">
        <f t="shared" si="1"/>
        <v/>
      </c>
      <c r="H26" s="9"/>
      <c r="I26" s="9"/>
    </row>
    <row r="27" spans="1:9">
      <c r="A27" s="9"/>
      <c r="B27" s="9"/>
      <c r="C27" s="9"/>
      <c r="D27" s="9"/>
      <c r="E27" s="9"/>
      <c r="F27" s="9"/>
      <c r="G27" s="8" t="str">
        <f t="shared" si="1"/>
        <v/>
      </c>
      <c r="H27" s="9"/>
      <c r="I27" s="9"/>
    </row>
    <row r="28" spans="1:9">
      <c r="A28" s="9"/>
      <c r="B28" s="9"/>
      <c r="C28" s="9"/>
      <c r="D28" s="9"/>
      <c r="E28" s="9"/>
      <c r="F28" s="9"/>
      <c r="G28" s="8" t="str">
        <f t="shared" si="1"/>
        <v/>
      </c>
      <c r="H28" s="9"/>
      <c r="I28" s="9"/>
    </row>
    <row r="29" spans="1:9">
      <c r="A29" s="9"/>
      <c r="B29" s="9"/>
      <c r="C29" s="9"/>
      <c r="D29" s="9"/>
      <c r="E29" s="9"/>
      <c r="F29" s="9"/>
      <c r="G29" s="8" t="str">
        <f t="shared" si="1"/>
        <v/>
      </c>
      <c r="H29" s="9"/>
      <c r="I29" s="9"/>
    </row>
    <row r="30" spans="1:9">
      <c r="A30" s="9"/>
      <c r="B30" s="9"/>
      <c r="C30" s="9"/>
      <c r="D30" s="9"/>
      <c r="E30" s="9"/>
      <c r="F30" s="9"/>
      <c r="G30" s="8" t="str">
        <f t="shared" si="1"/>
        <v/>
      </c>
      <c r="H30" s="9"/>
      <c r="I30" s="9"/>
    </row>
    <row r="32" spans="1:9">
      <c r="A32" s="4" t="s">
        <v>67</v>
      </c>
    </row>
    <row r="33" spans="1:9">
      <c r="A33" s="5" t="s">
        <v>68</v>
      </c>
      <c r="B33" s="10">
        <f>SUM(G19:G30)</f>
        <v>226</v>
      </c>
    </row>
    <row r="34" spans="1:9">
      <c r="A34" s="5" t="s">
        <v>69</v>
      </c>
      <c r="B34" s="11">
        <f>MAX(F19:F30)</f>
        <v>240</v>
      </c>
    </row>
    <row r="35" spans="1:9">
      <c r="A35" s="5" t="s">
        <v>70</v>
      </c>
      <c r="B35" s="12" t="str">
        <f>IF(MAX(F19:F30)=0,"—",INDEX(A19:A30,MATCH(MAX(F19:F30),F19:F30,0)))</f>
        <v>ESP32</v>
      </c>
    </row>
    <row r="36" spans="1:9">
      <c r="A36" s="5" t="s">
        <v>71</v>
      </c>
      <c r="B36" s="10">
        <f>IF(B33=0,0,B33*($B$11/$B$12)/$B$13)</f>
        <v>179.6502384737679</v>
      </c>
    </row>
    <row r="37" spans="1:9">
      <c r="A37" s="5" t="s">
        <v>72</v>
      </c>
      <c r="B37" s="11">
        <f>$B$14*$B$15</f>
        <v>2080</v>
      </c>
    </row>
    <row r="38" spans="1:9">
      <c r="A38" s="5" t="s">
        <v>73</v>
      </c>
      <c r="B38" s="13">
        <f>IF(B36=0,0,B37/B36)</f>
        <v>11.578053097345132</v>
      </c>
    </row>
    <row r="39" spans="1:9">
      <c r="A39" s="5" t="s">
        <v>74</v>
      </c>
      <c r="B39" s="13">
        <f>B38/24</f>
        <v>0.48241887905604713</v>
      </c>
    </row>
    <row r="41" spans="1:9">
      <c r="A41" s="4" t="s">
        <v>75</v>
      </c>
    </row>
    <row r="42" spans="1:9">
      <c r="A42" s="3" t="s">
        <v>76</v>
      </c>
      <c r="B42" s="20" t="s">
        <v>77</v>
      </c>
      <c r="C42" s="20"/>
      <c r="D42" s="20"/>
      <c r="E42" s="20"/>
      <c r="F42" s="20"/>
      <c r="G42" s="20"/>
      <c r="H42" s="20"/>
      <c r="I42" s="20"/>
    </row>
    <row r="43" spans="1:9">
      <c r="A43" s="3" t="s">
        <v>78</v>
      </c>
      <c r="B43" s="20" t="s">
        <v>79</v>
      </c>
      <c r="C43" s="20"/>
      <c r="D43" s="20"/>
      <c r="E43" s="20"/>
      <c r="F43" s="20"/>
      <c r="G43" s="20"/>
      <c r="H43" s="20"/>
      <c r="I43" s="20"/>
    </row>
    <row r="44" spans="1:9" ht="15">
      <c r="A44" s="3" t="s">
        <v>80</v>
      </c>
      <c r="B44" s="20" t="s">
        <v>81</v>
      </c>
      <c r="C44" s="20"/>
      <c r="D44" s="20"/>
      <c r="E44" s="20"/>
      <c r="F44" s="20"/>
      <c r="G44" s="20"/>
      <c r="H44" s="20"/>
      <c r="I44" s="20"/>
    </row>
    <row r="45" spans="1:9" ht="15">
      <c r="A45" s="3" t="s">
        <v>82</v>
      </c>
      <c r="B45" s="23" t="s">
        <v>83</v>
      </c>
      <c r="C45" s="24"/>
      <c r="D45" s="24"/>
      <c r="E45" s="24"/>
      <c r="F45" s="24"/>
      <c r="G45" s="24"/>
      <c r="H45" s="24"/>
      <c r="I45" s="25"/>
    </row>
    <row r="46" spans="1:9" ht="15" customHeight="1">
      <c r="A46" s="3" t="s">
        <v>84</v>
      </c>
      <c r="B46" s="18" t="s">
        <v>85</v>
      </c>
      <c r="C46" s="18"/>
      <c r="D46" s="18"/>
      <c r="E46" s="18"/>
      <c r="F46" s="18"/>
      <c r="G46" s="18"/>
      <c r="H46" s="18"/>
      <c r="I46" s="18"/>
    </row>
    <row r="47" spans="1:9" ht="14.45" customHeight="1">
      <c r="B47" s="19"/>
      <c r="C47" s="19"/>
      <c r="D47" s="19"/>
      <c r="E47" s="19"/>
      <c r="F47" s="19"/>
      <c r="G47" s="19"/>
      <c r="H47" s="19"/>
      <c r="I47" s="19"/>
    </row>
    <row r="48" spans="1:9" ht="15">
      <c r="B48" s="19"/>
      <c r="C48" s="19"/>
      <c r="D48" s="19"/>
      <c r="E48" s="19"/>
      <c r="F48" s="19"/>
      <c r="G48" s="19"/>
      <c r="H48" s="19"/>
      <c r="I48" s="19"/>
    </row>
    <row r="49" spans="2:9" ht="14.45" customHeight="1">
      <c r="B49" s="19"/>
      <c r="C49" s="19"/>
      <c r="D49" s="19"/>
      <c r="E49" s="19"/>
      <c r="F49" s="19"/>
      <c r="G49" s="19"/>
      <c r="H49" s="19"/>
      <c r="I49" s="19"/>
    </row>
    <row r="50" spans="2:9" ht="14.45" customHeight="1">
      <c r="B50" s="19"/>
      <c r="C50" s="19"/>
      <c r="D50" s="19"/>
      <c r="E50" s="19"/>
      <c r="F50" s="19"/>
      <c r="G50" s="19"/>
      <c r="H50" s="19"/>
      <c r="I50" s="19"/>
    </row>
    <row r="51" spans="2:9" ht="14.45" customHeight="1">
      <c r="B51" s="19"/>
      <c r="C51" s="19"/>
      <c r="D51" s="19"/>
      <c r="E51" s="19"/>
      <c r="F51" s="19"/>
      <c r="G51" s="19"/>
      <c r="H51" s="19"/>
      <c r="I51" s="19"/>
    </row>
    <row r="52" spans="2:9" ht="15">
      <c r="B52" s="19"/>
      <c r="C52" s="19"/>
      <c r="D52" s="19"/>
      <c r="E52" s="19"/>
      <c r="F52" s="19"/>
      <c r="G52" s="19"/>
      <c r="H52" s="19"/>
      <c r="I52" s="19"/>
    </row>
    <row r="53" spans="2:9" ht="15">
      <c r="B53" s="19"/>
      <c r="C53" s="19"/>
      <c r="D53" s="19"/>
      <c r="E53" s="19"/>
      <c r="F53" s="19"/>
      <c r="G53" s="19"/>
      <c r="H53" s="19"/>
      <c r="I53" s="19"/>
    </row>
    <row r="54" spans="2:9" ht="15">
      <c r="B54" s="19"/>
      <c r="C54" s="19"/>
      <c r="D54" s="19"/>
      <c r="E54" s="19"/>
      <c r="F54" s="19"/>
      <c r="G54" s="19"/>
      <c r="H54" s="19"/>
      <c r="I54" s="19"/>
    </row>
    <row r="55" spans="2:9" ht="15">
      <c r="B55" s="19"/>
      <c r="C55" s="19"/>
      <c r="D55" s="19"/>
      <c r="E55" s="19"/>
      <c r="F55" s="19"/>
      <c r="G55" s="19"/>
      <c r="H55" s="19"/>
      <c r="I55" s="19"/>
    </row>
    <row r="56" spans="2:9" ht="15">
      <c r="B56" s="19"/>
      <c r="C56" s="19"/>
      <c r="D56" s="19"/>
      <c r="E56" s="19"/>
      <c r="F56" s="19"/>
      <c r="G56" s="19"/>
      <c r="H56" s="19"/>
      <c r="I56" s="19"/>
    </row>
    <row r="57" spans="2:9" ht="15">
      <c r="B57" s="19"/>
      <c r="C57" s="19"/>
      <c r="D57" s="19"/>
      <c r="E57" s="19"/>
      <c r="F57" s="19"/>
      <c r="G57" s="19"/>
      <c r="H57" s="19"/>
      <c r="I57" s="19"/>
    </row>
    <row r="58" spans="2:9" ht="14.45" customHeight="1">
      <c r="B58" s="19"/>
      <c r="C58" s="19"/>
      <c r="D58" s="19"/>
      <c r="E58" s="19"/>
      <c r="F58" s="19"/>
      <c r="G58" s="19"/>
      <c r="H58" s="19"/>
      <c r="I58" s="19"/>
    </row>
    <row r="59" spans="2:9" ht="15"/>
    <row r="64" spans="2:9" ht="15"/>
    <row r="65" spans="1:9" ht="15">
      <c r="A65" s="22" t="s">
        <v>86</v>
      </c>
      <c r="B65" s="22"/>
      <c r="C65" s="22"/>
      <c r="D65" s="22"/>
      <c r="E65" s="22"/>
      <c r="F65" s="22"/>
      <c r="G65" s="22"/>
      <c r="H65" s="22"/>
      <c r="I65" s="22"/>
    </row>
    <row r="66" spans="1:9" ht="15"/>
  </sheetData>
  <mergeCells count="16">
    <mergeCell ref="B4:D4"/>
    <mergeCell ref="B5:D5"/>
    <mergeCell ref="B6:D6"/>
    <mergeCell ref="B7:D7"/>
    <mergeCell ref="C10:F10"/>
    <mergeCell ref="C11:F11"/>
    <mergeCell ref="C12:F12"/>
    <mergeCell ref="C13:F13"/>
    <mergeCell ref="C14:F14"/>
    <mergeCell ref="C15:F15"/>
    <mergeCell ref="A65:I65"/>
    <mergeCell ref="B42:I42"/>
    <mergeCell ref="B43:I43"/>
    <mergeCell ref="B44:I44"/>
    <mergeCell ref="B45:I45"/>
    <mergeCell ref="B46:I5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zoomScaleNormal="100" workbookViewId="0"/>
  </sheetViews>
  <sheetFormatPr defaultColWidth="8.7109375" defaultRowHeight="14.45"/>
  <cols>
    <col min="1" max="1" width="37.85546875" customWidth="1"/>
    <col min="2" max="2" width="22.140625" customWidth="1"/>
    <col min="3" max="3" width="62" customWidth="1"/>
  </cols>
  <sheetData>
    <row r="1" spans="1:3" ht="17.45">
      <c r="A1" s="2" t="s">
        <v>87</v>
      </c>
    </row>
    <row r="2" spans="1:3">
      <c r="A2" s="1" t="s">
        <v>88</v>
      </c>
    </row>
    <row r="4" spans="1:3">
      <c r="A4" s="14" t="s">
        <v>48</v>
      </c>
      <c r="B4" s="14" t="s">
        <v>89</v>
      </c>
      <c r="C4" s="14" t="s">
        <v>90</v>
      </c>
    </row>
    <row r="5" spans="1:3">
      <c r="A5" s="15" t="s">
        <v>91</v>
      </c>
      <c r="B5" s="15" t="s">
        <v>92</v>
      </c>
      <c r="C5" s="15" t="s">
        <v>93</v>
      </c>
    </row>
    <row r="6" spans="1:3">
      <c r="A6" s="15" t="s">
        <v>94</v>
      </c>
      <c r="B6" s="15" t="s">
        <v>95</v>
      </c>
      <c r="C6" s="15" t="s">
        <v>96</v>
      </c>
    </row>
    <row r="7" spans="1:3">
      <c r="A7" s="15" t="s">
        <v>97</v>
      </c>
      <c r="B7" s="15" t="s">
        <v>98</v>
      </c>
      <c r="C7" s="15" t="s">
        <v>99</v>
      </c>
    </row>
    <row r="8" spans="1:3">
      <c r="A8" s="15" t="s">
        <v>100</v>
      </c>
      <c r="B8" s="15" t="s">
        <v>101</v>
      </c>
      <c r="C8" s="15" t="s">
        <v>102</v>
      </c>
    </row>
    <row r="9" spans="1:3">
      <c r="A9" s="15" t="s">
        <v>103</v>
      </c>
      <c r="B9" s="15" t="s">
        <v>104</v>
      </c>
      <c r="C9" s="15" t="s">
        <v>105</v>
      </c>
    </row>
    <row r="10" spans="1:3">
      <c r="A10" s="15" t="s">
        <v>106</v>
      </c>
      <c r="B10" s="15" t="s">
        <v>107</v>
      </c>
      <c r="C10" s="15" t="s">
        <v>108</v>
      </c>
    </row>
    <row r="11" spans="1:3">
      <c r="A11" s="15" t="s">
        <v>109</v>
      </c>
      <c r="B11" s="15" t="s">
        <v>110</v>
      </c>
      <c r="C11" s="15" t="s">
        <v>111</v>
      </c>
    </row>
    <row r="12" spans="1:3">
      <c r="A12" s="15" t="s">
        <v>112</v>
      </c>
      <c r="B12" s="15" t="s">
        <v>113</v>
      </c>
      <c r="C12" s="15" t="s">
        <v>114</v>
      </c>
    </row>
    <row r="13" spans="1:3">
      <c r="A13" s="15" t="s">
        <v>115</v>
      </c>
      <c r="B13" s="15" t="s">
        <v>116</v>
      </c>
      <c r="C13" s="15" t="s">
        <v>117</v>
      </c>
    </row>
    <row r="14" spans="1:3" ht="39.6">
      <c r="A14" s="15" t="s">
        <v>118</v>
      </c>
      <c r="B14" s="15" t="s">
        <v>119</v>
      </c>
      <c r="C14" s="15" t="s">
        <v>120</v>
      </c>
    </row>
    <row r="15" spans="1:3" ht="26.45">
      <c r="A15" s="15" t="s">
        <v>121</v>
      </c>
      <c r="B15" s="15" t="s">
        <v>122</v>
      </c>
      <c r="C15" s="15" t="s">
        <v>123</v>
      </c>
    </row>
    <row r="16" spans="1:3" ht="26.45">
      <c r="A16" s="15" t="s">
        <v>124</v>
      </c>
      <c r="B16" s="15" t="s">
        <v>125</v>
      </c>
      <c r="C16" s="15" t="s">
        <v>126</v>
      </c>
    </row>
    <row r="18" spans="1:1">
      <c r="A18" s="1" t="s">
        <v>127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Reinier Rodriguez Guillen</dc:creator>
  <cp:keywords/>
  <dc:description/>
  <cp:lastModifiedBy/>
  <cp:revision>0</cp:revision>
  <dcterms:created xsi:type="dcterms:W3CDTF">2026-08-06T16:09:48Z</dcterms:created>
  <dcterms:modified xsi:type="dcterms:W3CDTF">2026-08-17T00:25:54Z</dcterms:modified>
  <cp:category/>
  <cp:contentStatus/>
</cp:coreProperties>
</file>